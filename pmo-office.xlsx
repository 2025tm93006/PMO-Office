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6e901228d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Tracker" sheetId="1" r:id="R1e4f8ea619994c2a"/>
    <x:sheet xmlns:r="http://schemas.openxmlformats.org/officeDocument/2006/relationships" name="Dashboard" sheetId="2" r:id="R6293bc12daf7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"/>
    <x:numFmt numFmtId="202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1" fontId="0" fillId="5" borderId="3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9" xfId="0" applyNumberFormat="1" applyFont="1" applyFill="1" applyBorder="1"/>
    <x:xf numFmtId="0" fontId="5" fillId="4" borderId="2" xfId="0" applyNumberFormat="1" applyFont="1" applyFill="1" applyBorder="1"/>
    <x:xf numFmtId="0" fontId="5" fillId="4" borderId="5" xfId="0" applyNumberFormat="1" applyFont="1" applyFill="1" applyBorder="1"/>
    <x:xf numFmtId="0" fontId="5" fillId="4" borderId="7" xfId="0" applyNumberFormat="1" applyFont="1" applyFill="1" applyBorder="1"/>
    <x:xf numFmtId="201" fontId="0" fillId="4" borderId="6" xfId="0" applyNumberFormat="1" applyFont="1" applyFill="1" applyBorder="1"/>
    <x:xf numFmtId="202" fontId="0" fillId="4" borderId="6" xfId="0" applyNumberFormat="1" applyFont="1" applyFill="1" applyBorder="1"/>
    <x:xf numFmtId="201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2" fontId="0" fillId="0" borderId="4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d2479353f4ca2" /><Relationship Type="http://schemas.openxmlformats.org/officeDocument/2006/relationships/theme" Target="/xl/theme/theme1.xml" Id="Rd727d42a270d4d54" /><Relationship Type="http://schemas.openxmlformats.org/officeDocument/2006/relationships/sharedStrings" Target="/xl/sharedStrings.xml" Id="R9658556957254a27" /><Relationship Type="http://schemas.openxmlformats.org/officeDocument/2006/relationships/worksheet" Target="/xl/worksheets/sheet1.xml" Id="R1e4f8ea619994c2a" /><Relationship Type="http://schemas.openxmlformats.org/officeDocument/2006/relationships/worksheet" Target="/xl/worksheets/sheet2.xml" Id="R6293bc12daf7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55" hidden="0" customWidth="1"/>
    <x:col min="3" max="3" width="19" hidden="0" customWidth="1"/>
    <x:col min="4" max="4" width="13" hidden="0" customWidth="1"/>
    <x:col min="5" max="5" width="13" hidden="0" customWidth="1"/>
    <x:col min="6" max="6" width="15" hidden="0" customWidth="1"/>
    <x:col min="7" max="7" width="14" hidden="0" customWidth="1"/>
    <x:col min="8" max="8" width="12" hidden="0" customWidth="1"/>
  </x:cols>
  <x:sheetData>
    <x:row r="1" ht="28" customHeight="1">
      <x:c r="A1" s="4" t="str">
        <x:v>PMO Office — Project Tracker</x:v>
      </x:c>
      <x:c r="B1" s="4"/>
      <x:c r="C1" s="4"/>
      <x:c r="D1" s="4"/>
      <x:c r="E1" s="4"/>
      <x:c r="F1" s="4"/>
      <x:c r="G1" s="4"/>
      <x:c r="H1" s="4"/>
    </x:row>
    <x:row r="2">
      <x:c r="A2" s="6" t="str">
        <x:v>Sample portfolio for weekly project-management reporting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Project ID</x:v>
      </x:c>
      <x:c r="B4" s="10" t="str">
        <x:v>Project Name</x:v>
      </x:c>
      <x:c r="C4" s="10" t="str">
        <x:v>Project Manager</x:v>
      </x:c>
      <x:c r="D4" s="10" t="str">
        <x:v>Start Date</x:v>
      </x:c>
      <x:c r="E4" s="10" t="str">
        <x:v>Target Date</x:v>
      </x:c>
      <x:c r="F4" s="10" t="str">
        <x:v>Status</x:v>
      </x:c>
      <x:c r="G4" s="10" t="str">
        <x:v>Budget</x:v>
      </x:c>
      <x:c r="H4" s="10" t="str">
        <x:v>Progress</x:v>
      </x:c>
    </x:row>
    <x:row r="5">
      <x:c r="A5" s="29" t="str">
        <x:v>PMO-001</x:v>
      </x:c>
      <x:c r="B5" s="21" t="str">
        <x:v>Customer Portal</x:v>
      </x:c>
      <x:c r="C5" s="21" t="str">
        <x:v>Anita Sharma</x:v>
      </x:c>
      <x:c r="D5" s="32" t="n">
        <x:v>46266</x:v>
      </x:c>
      <x:c r="E5" s="32" t="n">
        <x:v>46356</x:v>
      </x:c>
      <x:c r="F5" s="21" t="str">
        <x:v>In Progress</x:v>
      </x:c>
      <x:c r="G5" s="49" t="n">
        <x:v>180000</x:v>
      </x:c>
      <x:c r="H5" s="38" t="n">
        <x:v>0.45</x:v>
      </x:c>
    </x:row>
    <x:row r="6">
      <x:c r="A6" s="30" t="str">
        <x:v>PMO-002</x:v>
      </x:c>
      <x:c r="B6" s="24" t="str">
        <x:v>Mobile App Upgrade</x:v>
      </x:c>
      <x:c r="C6" s="24" t="str">
        <x:v>Rahul Mehta</x:v>
      </x:c>
      <x:c r="D6" s="33" t="n">
        <x:v>46273</x:v>
      </x:c>
      <x:c r="E6" s="33" t="n">
        <x:v>46371</x:v>
      </x:c>
      <x:c r="F6" s="24" t="str">
        <x:v>On Track</x:v>
      </x:c>
      <x:c r="G6" s="50" t="n">
        <x:v>240000</x:v>
      </x:c>
      <x:c r="H6" s="39" t="n">
        <x:v>0.2</x:v>
      </x:c>
    </x:row>
    <x:row r="7">
      <x:c r="A7" s="30" t="str">
        <x:v>PMO-003</x:v>
      </x:c>
      <x:c r="B7" s="24" t="str">
        <x:v>Data Migration</x:v>
      </x:c>
      <x:c r="C7" s="24" t="str">
        <x:v>Sonia Iyer</x:v>
      </x:c>
      <x:c r="D7" s="33" t="n">
        <x:v>46249</x:v>
      </x:c>
      <x:c r="E7" s="33" t="n">
        <x:v>46326</x:v>
      </x:c>
      <x:c r="F7" s="24" t="str">
        <x:v>At Risk</x:v>
      </x:c>
      <x:c r="G7" s="50" t="n">
        <x:v>320000</x:v>
      </x:c>
      <x:c r="H7" s="39" t="n">
        <x:v>0.6</x:v>
      </x:c>
    </x:row>
    <x:row r="8">
      <x:c r="A8" s="30" t="str">
        <x:v>PMO-004</x:v>
      </x:c>
      <x:c r="B8" s="24" t="str">
        <x:v>Security Review</x:v>
      </x:c>
      <x:c r="C8" s="24" t="str">
        <x:v>Vikram Rao</x:v>
      </x:c>
      <x:c r="D8" s="33" t="n">
        <x:v>46275</x:v>
      </x:c>
      <x:c r="E8" s="33" t="n">
        <x:v>46305</x:v>
      </x:c>
      <x:c r="F8" s="24" t="str">
        <x:v>Not Started</x:v>
      </x:c>
      <x:c r="G8" s="50" t="n">
        <x:v>75000</x:v>
      </x:c>
      <x:c r="H8" s="39" t="n">
        <x:v>0</x:v>
      </x:c>
    </x:row>
    <x:row r="9">
      <x:c r="A9" s="31" t="str">
        <x:v>PMO-005</x:v>
      </x:c>
      <x:c r="B9" s="27" t="str">
        <x:v>Reporting Automation</x:v>
      </x:c>
      <x:c r="C9" s="27" t="str">
        <x:v>Priya Nair</x:v>
      </x:c>
      <x:c r="D9" s="34" t="n">
        <x:v>46223</x:v>
      </x:c>
      <x:c r="E9" s="34" t="n">
        <x:v>46290</x:v>
      </x:c>
      <x:c r="F9" s="27" t="str">
        <x:v>In Progress</x:v>
      </x:c>
      <x:c r="G9" s="51" t="n">
        <x:v>95000</x:v>
      </x:c>
      <x:c r="H9" s="40" t="n">
        <x:v>0.85</x:v>
      </x:c>
    </x:row>
    <x:row r="11">
      <x:c r="A11" s="43" t="str">
        <x:v>Project Management Notes</x:v>
      </x:c>
      <x:c r="B11" s="44"/>
      <x:c r="C11" s="44"/>
      <x:c r="D11" s="44"/>
      <x:c r="E11" s="44"/>
      <x:c r="F11" s="44"/>
      <x:c r="G11" s="44"/>
      <x:c r="H11" s="45"/>
    </x:row>
    <x:row r="12">
      <x:c r="A12" s="48" t="str">
        <x:v>Update cadence</x:v>
      </x:c>
      <x:c r="B12" s="47" t="str">
        <x:v>Every Friday</x:v>
      </x:c>
      <x:c r="C12"/>
      <x:c r="D12"/>
      <x:c r="E12"/>
      <x:c r="F12"/>
      <x:c r="G12"/>
      <x:c r="H12"/>
    </x:row>
    <x:row r="13">
      <x:c r="A13" s="48" t="str">
        <x:v>Portfolio owner</x:v>
      </x:c>
      <x:c r="B13" s="47" t="str">
        <x:v>PMO Office</x:v>
      </x:c>
      <x:c r="C13"/>
      <x:c r="D13"/>
      <x:c r="E13"/>
      <x:c r="F13"/>
      <x:c r="G13"/>
      <x:c r="H13"/>
    </x:row>
    <x:row r="14" ht="30" customHeight="1">
      <x:c r="A14" s="48" t="str">
        <x:v>Status definitions</x:v>
      </x:c>
      <x:c r="B14" s="47" t="str">
        <x:v>On Track: plan is achievable; At Risk: intervention required</x:v>
      </x:c>
      <x:c r="C14"/>
      <x:c r="D14"/>
      <x:c r="E14"/>
      <x:c r="F14"/>
      <x:c r="G14"/>
      <x:c r="H14"/>
    </x:row>
  </x:sheetData>
  <x:mergeCells>
    <x:mergeCell ref="A1:H1"/>
    <x:mergeCell ref="A2:H2"/>
  </x:mergeCells>
  <x:conditionalFormatting sqref="F5:F9">
    <x:cfRule type="containsText" dxfId="0" priority="1" operator="containsText" text="At Risk"/>
    <x:cfRule type="containsText" dxfId="1" priority="2" operator="containsText" text="On Track"/>
    <x:cfRule type="containsText" dxfId="2" priority="3" operator="containsText" text="In Progress"/>
  </x:conditionalFormatting>
  <x:dataValidations count="1">
    <x:dataValidation type="list" sqref="F5:F9">
      <x:formula1>"Not Started,On Track,In Progress,At Risk,Complete"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4" hidden="0" customWidth="1"/>
    <x:col min="4" max="4" width="24" hidden="0" customWidth="1"/>
    <x:col min="5" max="5" width="18" hidden="0" customWidth="1"/>
    <x:col min="6" max="6" width="15" hidden="0" customWidth="1"/>
    <x:col min="7" max="7" width="13" hidden="0" customWidth="1"/>
    <x:col min="8" max="8" width="13" hidden="0" customWidth="1"/>
  </x:cols>
  <x:sheetData>
    <x:row r="1" ht="28" customHeight="1">
      <x:c r="A1" s="52" t="str">
        <x:v>PMO Office — Portfolio Summary</x:v>
      </x:c>
      <x:c r="B1" s="52"/>
      <x:c r="C1" s="52"/>
      <x:c r="D1" s="52"/>
      <x:c r="E1" s="52"/>
      <x:c r="F1" s="52"/>
      <x:c r="G1" s="52"/>
      <x:c r="H1" s="52"/>
    </x:row>
    <x:row r="2">
      <x:c r="A2" s="5" t="str">
        <x:v>Live summary calculated from the Project Tracker sheet</x:v>
      </x:c>
      <x:c r="B2" s="5"/>
      <x:c r="C2" s="5"/>
      <x:c r="D2" s="5"/>
      <x:c r="E2" s="5"/>
      <x:c r="F2" s="5"/>
      <x:c r="G2" s="5"/>
      <x:c r="H2" s="5"/>
    </x:row>
    <x:row r="4">
      <x:c r="A4" s="9" t="str">
        <x:v>Portfolio metric</x:v>
      </x:c>
      <x:c r="B4" s="9" t="str">
        <x:v>Value</x:v>
      </x:c>
      <x:c r="D4" s="9" t="str">
        <x:v>Project</x:v>
      </x:c>
      <x:c r="E4" s="9" t="str">
        <x:v>Manager</x:v>
      </x:c>
      <x:c r="F4" s="9" t="str">
        <x:v>Status</x:v>
      </x:c>
      <x:c r="G4" s="9" t="str">
        <x:v>Budget</x:v>
      </x:c>
      <x:c r="H4" s="9" t="str">
        <x:v>Progress</x:v>
      </x:c>
    </x:row>
    <x:row r="5">
      <x:c r="A5" s="59" t="str">
        <x:v>Total projects</x:v>
      </x:c>
      <x:c r="B5" s="54" t="n">
        <x:f>COUNTA('Project Tracker'!A5:A9)</x:f>
        <x:v>5</x:v>
      </x:c>
      <x:c r="D5" s="11" t="str">
        <x:f>'Project Tracker'!B5</x:f>
        <x:v>Customer Portal</x:v>
      </x:c>
      <x:c r="E5" s="12" t="str">
        <x:f>'Project Tracker'!C5</x:f>
        <x:v>Anita Sharma</x:v>
      </x:c>
      <x:c r="F5" s="12" t="str">
        <x:f>'Project Tracker'!F5</x:f>
        <x:v>In Progress</x:v>
      </x:c>
      <x:c r="G5" s="64" t="n">
        <x:f>'Project Tracker'!G5</x:f>
        <x:v>180000</x:v>
      </x:c>
      <x:c r="H5" s="67" t="n">
        <x:f>'Project Tracker'!H5</x:f>
        <x:v>0.45</x:v>
      </x:c>
    </x:row>
    <x:row r="6">
      <x:c r="A6" s="60" t="str">
        <x:v>Total budget</x:v>
      </x:c>
      <x:c r="B6" s="62" t="n">
        <x:f>SUM('Project Tracker'!G5:G9)</x:f>
        <x:v>910000</x:v>
      </x:c>
      <x:c r="D6" s="14" t="str">
        <x:f>'Project Tracker'!B6</x:f>
        <x:v>Mobile App Upgrade</x:v>
      </x:c>
      <x:c r="E6" s="15" t="str">
        <x:f>'Project Tracker'!C6</x:f>
        <x:v>Rahul Mehta</x:v>
      </x:c>
      <x:c r="F6" s="15" t="str">
        <x:f>'Project Tracker'!F6</x:f>
        <x:v>On Track</x:v>
      </x:c>
      <x:c r="G6" s="65" t="n">
        <x:f>'Project Tracker'!G6</x:f>
        <x:v>240000</x:v>
      </x:c>
      <x:c r="H6" s="68" t="n">
        <x:f>'Project Tracker'!H6</x:f>
        <x:v>0.2</x:v>
      </x:c>
    </x:row>
    <x:row r="7">
      <x:c r="A7" s="60" t="str">
        <x:v>Average progress</x:v>
      </x:c>
      <x:c r="B7" s="63" t="n">
        <x:f>AVERAGE('Project Tracker'!H5:H9)</x:f>
        <x:v>0.42000000000000004</x:v>
      </x:c>
      <x:c r="D7" s="14" t="str">
        <x:f>'Project Tracker'!B7</x:f>
        <x:v>Data Migration</x:v>
      </x:c>
      <x:c r="E7" s="15" t="str">
        <x:f>'Project Tracker'!C7</x:f>
        <x:v>Sonia Iyer</x:v>
      </x:c>
      <x:c r="F7" s="15" t="str">
        <x:f>'Project Tracker'!F7</x:f>
        <x:v>At Risk</x:v>
      </x:c>
      <x:c r="G7" s="65" t="n">
        <x:f>'Project Tracker'!G7</x:f>
        <x:v>320000</x:v>
      </x:c>
      <x:c r="H7" s="68" t="n">
        <x:f>'Project Tracker'!H7</x:f>
        <x:v>0.6</x:v>
      </x:c>
    </x:row>
    <x:row r="8">
      <x:c r="A8" s="60" t="str">
        <x:v>Projects at risk</x:v>
      </x:c>
      <x:c r="B8" s="56" t="n">
        <x:f>COUNTIF('Project Tracker'!F5:F9,"At Risk")</x:f>
        <x:v>1</x:v>
      </x:c>
      <x:c r="D8" s="14" t="str">
        <x:f>'Project Tracker'!B8</x:f>
        <x:v>Security Review</x:v>
      </x:c>
      <x:c r="E8" s="15" t="str">
        <x:f>'Project Tracker'!C8</x:f>
        <x:v>Vikram Rao</x:v>
      </x:c>
      <x:c r="F8" s="15" t="str">
        <x:f>'Project Tracker'!F8</x:f>
        <x:v>Not Started</x:v>
      </x:c>
      <x:c r="G8" s="65" t="n">
        <x:f>'Project Tracker'!G8</x:f>
        <x:v>75000</x:v>
      </x:c>
      <x:c r="H8" s="68" t="n">
        <x:f>'Project Tracker'!H8</x:f>
        <x:v>0</x:v>
      </x:c>
    </x:row>
    <x:row r="9">
      <x:c r="A9" s="61" t="str">
        <x:v>Projects completed</x:v>
      </x:c>
      <x:c r="B9" s="58" t="n">
        <x:f>COUNTIF('Project Tracker'!F5:F9,"Complete")</x:f>
        <x:v>0</x:v>
      </x:c>
      <x:c r="D9" s="17" t="str">
        <x:f>'Project Tracker'!B9</x:f>
        <x:v>Reporting Automation</x:v>
      </x:c>
      <x:c r="E9" s="18" t="str">
        <x:f>'Project Tracker'!C9</x:f>
        <x:v>Priya Nair</x:v>
      </x:c>
      <x:c r="F9" s="18" t="str">
        <x:f>'Project Tracker'!F9</x:f>
        <x:v>In Progress</x:v>
      </x:c>
      <x:c r="G9" s="66" t="n">
        <x:f>'Project Tracker'!G9</x:f>
        <x:v>95000</x:v>
      </x:c>
      <x:c r="H9" s="69" t="n">
        <x:f>'Project Tracker'!H9</x:f>
        <x:v>0.85</x:v>
      </x:c>
    </x:row>
  </x:sheetData>
  <x:mergeCells>
    <x:mergeCell ref="A1:H1"/>
    <x:mergeCell ref="A2:H2"/>
  </x:mergeCells>
  <x:pageMargins left="0.7" right="0.7" top="0.75" bottom="0.75" header="0.3" footer="0.3"/>
</x:worksheet>
</file>